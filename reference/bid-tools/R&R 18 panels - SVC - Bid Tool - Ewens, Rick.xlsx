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cc0673e426448f3/Documents/Service Bid Tools 2025/Ewens^J Rick - SVC - R^0R/"/>
    </mc:Choice>
  </mc:AlternateContent>
  <xr:revisionPtr revIDLastSave="2" documentId="8_{717D9A44-6729-4AFC-8BB2-1F4ED43161D9}" xr6:coauthVersionLast="47" xr6:coauthVersionMax="47" xr10:uidLastSave="{93D9579C-46F1-4106-869F-633E64A06517}"/>
  <bookViews>
    <workbookView xWindow="-98" yWindow="-98" windowWidth="21795" windowHeight="13875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/>
  <c r="C11" i="1"/>
  <c r="C12" i="1" s="1"/>
  <c r="C20" i="1" l="1"/>
  <c r="C14" i="1" l="1"/>
  <c r="C23" i="1"/>
  <c r="B4" i="1"/>
  <c r="C21" i="1"/>
  <c r="C22" i="1"/>
  <c r="C24" i="1"/>
  <c r="C25" i="1"/>
  <c r="E27" i="1"/>
  <c r="E28" i="1"/>
</calcChain>
</file>

<file path=xl/sharedStrings.xml><?xml version="1.0" encoding="utf-8"?>
<sst xmlns="http://schemas.openxmlformats.org/spreadsheetml/2006/main" count="57" uniqueCount="52">
  <si>
    <t>JOB NAME:</t>
  </si>
  <si>
    <t>OVERHEAD COST SHEET</t>
  </si>
  <si>
    <t>Job Description</t>
  </si>
  <si>
    <t>Profit Percentage</t>
  </si>
  <si>
    <t>Inflation Compensation</t>
  </si>
  <si>
    <t>Sales Tax</t>
  </si>
  <si>
    <t>Freight</t>
  </si>
  <si>
    <t>Truck Expenses</t>
  </si>
  <si>
    <t>Permit Fees</t>
  </si>
  <si>
    <t>Contract Price</t>
  </si>
  <si>
    <t>PERCENT  PROFIT</t>
  </si>
  <si>
    <t>GROSS PROFIT</t>
  </si>
  <si>
    <t>Commission</t>
  </si>
  <si>
    <t>Parts</t>
  </si>
  <si>
    <t>More Parts</t>
  </si>
  <si>
    <t>Mileage</t>
  </si>
  <si>
    <t>Warranty Reserve</t>
  </si>
  <si>
    <t>Liability Insurance</t>
  </si>
  <si>
    <t>Rack</t>
  </si>
  <si>
    <t>Crew Days</t>
  </si>
  <si>
    <t>Radiant</t>
  </si>
  <si>
    <t>Service</t>
  </si>
  <si>
    <t>DHW</t>
  </si>
  <si>
    <t>Pool</t>
  </si>
  <si>
    <t>** Use  The Following Gross Profit Margins</t>
  </si>
  <si>
    <t>Labor</t>
  </si>
  <si>
    <t>Sub contractor</t>
  </si>
  <si>
    <t>Labor/OH Profit</t>
  </si>
  <si>
    <t>Parts Profit</t>
  </si>
  <si>
    <t>TOTAL OH/Labor COST</t>
  </si>
  <si>
    <t>Total Parts Cost</t>
  </si>
  <si>
    <t>Estimated Commission:</t>
  </si>
  <si>
    <t>Input ALL major component pricing here.  Type over this with details.</t>
  </si>
  <si>
    <t>Input an estimate or actual pricing given for misc. components.</t>
  </si>
  <si>
    <t>Do not touch</t>
  </si>
  <si>
    <t>Add any cost of a sub contractor.  No need to add margin as it will be added for you.</t>
  </si>
  <si>
    <t xml:space="preserve">The exact number input here will be equally split with the sales rep provided there are no errors or ommissions. </t>
  </si>
  <si>
    <t>MUST GET PRICING FROM MANAGEMENT FOR THIS FIELD</t>
  </si>
  <si>
    <t>Minimum of $500 input in this field if we are getting a permit.</t>
  </si>
  <si>
    <t># of Crew Members</t>
  </si>
  <si>
    <t>PV/BESS</t>
  </si>
  <si>
    <t>Plumbing</t>
  </si>
  <si>
    <t>Solar Electric</t>
  </si>
  <si>
    <t>Service Tech ONLY</t>
  </si>
  <si>
    <t>Solar Panel Clean/SA</t>
  </si>
  <si>
    <t>Below is typical # of crew members</t>
  </si>
  <si>
    <t>Minimum $100 (Ordering, receiving, inventory, loading, labor) If shipping cost is given add $100 to total for actual</t>
  </si>
  <si>
    <t>BESS</t>
  </si>
  <si>
    <t>NOTES:</t>
  </si>
  <si>
    <t>(Revision dated 01/28/2025 @ 16:00)</t>
  </si>
  <si>
    <t>Midstate Roofing - 230Crestline</t>
  </si>
  <si>
    <t xml:space="preserve">16 Module R&amp;R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</si>
</sst>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\ AM/PM"/>
    <numFmt numFmtId="165" formatCode="&quot;$&quot;#,##0.00"/>
  </numFmts>
  <fonts count="10">
    <font>
      <sz val="9"/>
      <name val="Geneva"/>
    </font>
    <font>
      <b/>
      <sz val="9"/>
      <name val="Geneva"/>
    </font>
    <font>
      <sz val="9"/>
      <name val="Geneva"/>
    </font>
    <font>
      <b/>
      <sz val="12"/>
      <name val="Geneva"/>
    </font>
    <font>
      <sz val="14"/>
      <name val="Geneva"/>
    </font>
    <font>
      <sz val="10"/>
      <name val="Geneva"/>
    </font>
    <font>
      <b/>
      <sz val="10"/>
      <name val="Geneva"/>
    </font>
    <font>
      <u/>
      <sz val="10"/>
      <name val="Geneva"/>
    </font>
    <font>
      <b/>
      <u/>
      <sz val="9"/>
      <name val="Geneva"/>
    </font>
    <font>
      <sz val="9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164" fontId="5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9" fillId="0" borderId="0" xfId="0" applyFont="1"/>
    <xf numFmtId="165" fontId="0" fillId="0" borderId="0" xfId="0" applyNumberFormat="1" applyProtection="1">
      <protection hidden="1"/>
    </xf>
    <xf numFmtId="165" fontId="2" fillId="0" borderId="0" xfId="0" applyNumberFormat="1" applyFont="1" applyProtection="1">
      <protection hidden="1"/>
    </xf>
    <xf numFmtId="0" fontId="0" fillId="0" borderId="0" xfId="0" applyAlignment="1">
      <alignment wrapText="1"/>
    </xf>
    <xf numFmtId="0" fontId="6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165" fontId="9" fillId="0" borderId="0" xfId="0" applyNumberFormat="1" applyFont="1" applyProtection="1">
      <protection hidden="1"/>
    </xf>
    <xf numFmtId="0" fontId="9" fillId="0" borderId="0" xfId="0" applyFont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165" fontId="1" fillId="0" borderId="0" xfId="0" applyNumberFormat="1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165" fontId="8" fillId="0" borderId="0" xfId="0" applyNumberFormat="1" applyFont="1" applyProtection="1">
      <protection hidden="1"/>
    </xf>
    <xf numFmtId="10" fontId="1" fillId="0" borderId="0" xfId="0" applyNumberFormat="1" applyFon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9" fontId="1" fillId="0" borderId="0" xfId="0" applyNumberFormat="1" applyFont="1" applyAlignment="1" applyProtection="1">
      <alignment horizontal="center"/>
      <protection hidden="1"/>
    </xf>
    <xf numFmtId="9" fontId="1" fillId="0" borderId="0" xfId="1" applyFont="1" applyAlignment="1" applyProtection="1">
      <alignment horizontal="center"/>
      <protection hidden="1"/>
    </xf>
    <xf numFmtId="0" fontId="1" fillId="3" borderId="0" xfId="0" applyFont="1" applyFill="1" applyProtection="1">
      <protection locked="0"/>
    </xf>
    <xf numFmtId="165" fontId="1" fillId="3" borderId="0" xfId="0" applyNumberFormat="1" applyFont="1" applyFill="1" applyProtection="1">
      <protection locked="0" hidden="1"/>
    </xf>
    <xf numFmtId="0" fontId="1" fillId="3" borderId="0" xfId="0" applyFont="1" applyFill="1" applyProtection="1">
      <protection locked="0" hidden="1"/>
    </xf>
    <xf numFmtId="2" fontId="6" fillId="3" borderId="0" xfId="0" applyNumberFormat="1" applyFont="1" applyFill="1" applyProtection="1">
      <protection locked="0" hidden="1"/>
    </xf>
    <xf numFmtId="1" fontId="6" fillId="3" borderId="0" xfId="0" applyNumberFormat="1" applyFont="1" applyFill="1" applyProtection="1">
      <protection locked="0" hidden="1"/>
    </xf>
    <xf numFmtId="0" fontId="0" fillId="0" borderId="1" xfId="0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2" borderId="0" xfId="0" applyFont="1" applyFill="1" applyProtection="1">
      <protection locked="0" hidden="1"/>
    </xf>
    <xf numFmtId="2" fontId="1" fillId="0" borderId="0" xfId="0" applyNumberFormat="1" applyFont="1" applyProtection="1">
      <protection hidden="1"/>
    </xf>
    <xf numFmtId="0" fontId="4" fillId="3" borderId="0" xfId="0" applyFont="1" applyFill="1" applyProtection="1">
      <protection locked="0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13" sqref="C13"/>
    </sheetView>
  </sheetViews>
  <sheetFormatPr defaultColWidth="11.3828125" defaultRowHeight="11.65"/>
  <cols>
    <col min="1" max="1" width="54.765625" style="10" customWidth="1"/>
    <col min="2" max="2" width="43.23046875" customWidth="1"/>
    <col min="3" max="3" width="24" customWidth="1"/>
    <col min="4" max="4" width="21.765625" customWidth="1"/>
    <col min="6" max="6" width="14.84375" customWidth="1"/>
  </cols>
  <sheetData>
    <row r="1" spans="1:6" ht="17.25">
      <c r="A1" s="33" t="s">
        <v>48</v>
      </c>
      <c r="B1" s="1" t="s">
        <v>0</v>
      </c>
      <c r="C1" s="38" t="s">
        <v>50</v>
      </c>
      <c r="D1" s="39"/>
    </row>
    <row r="2" spans="1:6">
      <c r="A2" s="34" t="s">
        <v>49</v>
      </c>
    </row>
    <row r="3" spans="1:6" ht="15">
      <c r="A3" s="34"/>
      <c r="C3" s="2" t="s">
        <v>1</v>
      </c>
    </row>
    <row r="4" spans="1:6" ht="12.75">
      <c r="A4" s="34"/>
      <c r="B4" s="3">
        <f ca="1">NOW()</f>
        <v>44672.453150694448</v>
      </c>
    </row>
    <row r="5" spans="1:6">
      <c r="A5" s="34"/>
    </row>
    <row r="6" spans="1:6" ht="13.15">
      <c r="A6" s="34"/>
      <c r="B6" s="4" t="s">
        <v>2</v>
      </c>
      <c r="C6" s="36" t="s">
        <v>51</v>
      </c>
      <c r="D6" s="30">
        <v>35</v>
      </c>
      <c r="E6" s="6" t="s">
        <v>28</v>
      </c>
    </row>
    <row r="7" spans="1:6" ht="12" thickBot="1">
      <c r="A7" s="35"/>
      <c r="C7" s="5" t="s">
        <v>3</v>
      </c>
      <c r="D7" s="28">
        <v>35</v>
      </c>
      <c r="E7" s="6" t="s">
        <v>27</v>
      </c>
    </row>
    <row r="8" spans="1:6">
      <c r="E8" s="6"/>
    </row>
    <row r="9" spans="1:6" ht="23.65">
      <c r="A9" s="10" t="s">
        <v>32</v>
      </c>
      <c r="B9" s="11" t="s">
        <v>13</v>
      </c>
      <c r="C9" s="29">
        <v>650</v>
      </c>
      <c r="D9" s="12"/>
      <c r="E9" s="13"/>
    </row>
    <row r="10" spans="1:6" ht="13.15">
      <c r="A10" s="10" t="s">
        <v>33</v>
      </c>
      <c r="B10" s="11" t="s">
        <v>14</v>
      </c>
      <c r="C10" s="29">
        <v>0</v>
      </c>
      <c r="D10" s="12"/>
      <c r="E10" s="12"/>
    </row>
    <row r="11" spans="1:6" ht="12.75">
      <c r="A11" s="10" t="s">
        <v>34</v>
      </c>
      <c r="B11" s="14" t="s">
        <v>4</v>
      </c>
      <c r="C11" s="9">
        <f>C9*3%</f>
        <v>19.5</v>
      </c>
      <c r="D11" s="12"/>
      <c r="E11" s="12"/>
    </row>
    <row r="12" spans="1:6" s="7" customFormat="1" ht="12.75">
      <c r="A12" s="10" t="s">
        <v>34</v>
      </c>
      <c r="B12" s="14" t="s">
        <v>5</v>
      </c>
      <c r="C12" s="15">
        <f>(C9+C10+C11)*8.75%</f>
        <v>58.581249999999997</v>
      </c>
      <c r="D12" s="16"/>
      <c r="E12" s="16"/>
    </row>
    <row r="13" spans="1:6" ht="23.65">
      <c r="A13" s="10" t="s">
        <v>46</v>
      </c>
      <c r="B13" s="11" t="s">
        <v>6</v>
      </c>
      <c r="C13" s="29">
        <v>75</v>
      </c>
      <c r="D13" s="17"/>
      <c r="E13" s="37"/>
    </row>
    <row r="14" spans="1:6" ht="12.75">
      <c r="A14" s="10" t="s">
        <v>34</v>
      </c>
      <c r="B14" s="14" t="s">
        <v>7</v>
      </c>
      <c r="C14" s="8">
        <f>E18*E14*2*2.5</f>
        <v>75</v>
      </c>
      <c r="D14" s="17" t="s">
        <v>15</v>
      </c>
      <c r="E14" s="30">
        <v>12</v>
      </c>
    </row>
    <row r="15" spans="1:6" ht="23.65">
      <c r="A15" s="10" t="s">
        <v>35</v>
      </c>
      <c r="B15" s="11" t="s">
        <v>26</v>
      </c>
      <c r="C15" s="29">
        <v>0</v>
      </c>
      <c r="D15" s="17"/>
      <c r="E15" s="13"/>
    </row>
    <row r="16" spans="1:6" ht="35.25">
      <c r="A16" s="10" t="s">
        <v>36</v>
      </c>
      <c r="B16" s="11" t="s">
        <v>12</v>
      </c>
      <c r="C16" s="29">
        <v>400</v>
      </c>
      <c r="D16" s="12"/>
      <c r="E16" s="12"/>
      <c r="F16" s="10" t="s">
        <v>45</v>
      </c>
    </row>
    <row r="17" spans="1:6" ht="13.15">
      <c r="A17" s="10" t="s">
        <v>37</v>
      </c>
      <c r="B17" s="11" t="s">
        <v>18</v>
      </c>
      <c r="C17" s="29"/>
      <c r="D17" s="17" t="s">
        <v>39</v>
      </c>
      <c r="E17" s="32">
        <v>2</v>
      </c>
    </row>
    <row r="18" spans="1:6" ht="13.15">
      <c r="A18" s="10" t="s">
        <v>38</v>
      </c>
      <c r="B18" s="11" t="s">
        <v>8</v>
      </c>
      <c r="C18" s="29">
        <v>0</v>
      </c>
      <c r="D18" s="17" t="s">
        <v>19</v>
      </c>
      <c r="E18" s="31">
        <v>1.25</v>
      </c>
    </row>
    <row r="19" spans="1:6" s="6" customFormat="1" ht="12.75">
      <c r="A19" s="10" t="s">
        <v>34</v>
      </c>
      <c r="B19" s="14" t="s">
        <v>25</v>
      </c>
      <c r="C19" s="9">
        <f>((E18*((E17)*6))*(E19/F19)*130+(E18*((E17)*6))*(E20/F20)*215+(E18*((E17)*6))*(E21/F21)*215+(E18*((E17)*6))*(E22/F22)*75+(E18*((E17)*6))*(E23/F23)*50)</f>
        <v>1075</v>
      </c>
      <c r="D19" s="17" t="s">
        <v>41</v>
      </c>
      <c r="E19" s="30">
        <v>0</v>
      </c>
      <c r="F19" s="6">
        <v>2</v>
      </c>
    </row>
    <row r="20" spans="1:6" s="6" customFormat="1" ht="12.75">
      <c r="A20" s="10" t="s">
        <v>34</v>
      </c>
      <c r="B20" s="14" t="s">
        <v>16</v>
      </c>
      <c r="C20" s="9">
        <f>((E18*((E17)*6))*E19*20+(E18*((E17)*6))*E20*15+(E18*((E17)*6))*E21*20+(E18*((E17)*6))*E22*20+(E18*((E17)*6))*E23*5)</f>
        <v>225</v>
      </c>
      <c r="D20" s="17" t="s">
        <v>42</v>
      </c>
      <c r="E20" s="30">
        <v>1</v>
      </c>
      <c r="F20" s="6">
        <v>3</v>
      </c>
    </row>
    <row r="21" spans="1:6" ht="12.75">
      <c r="A21" s="10" t="s">
        <v>34</v>
      </c>
      <c r="B21" s="19" t="s">
        <v>17</v>
      </c>
      <c r="C21" s="8">
        <f ca="1">C24*6%</f>
        <v>262.17775581006225</v>
      </c>
      <c r="D21" s="17" t="s">
        <v>47</v>
      </c>
      <c r="E21" s="30">
        <v>0</v>
      </c>
      <c r="F21">
        <v>2</v>
      </c>
    </row>
    <row r="22" spans="1:6" ht="13.15">
      <c r="B22" s="20" t="s">
        <v>29</v>
      </c>
      <c r="C22" s="8">
        <f ca="1">SUM(C11:C21)</f>
        <v>2190.2590058100623</v>
      </c>
      <c r="D22" s="17" t="s">
        <v>43</v>
      </c>
      <c r="E22" s="30">
        <v>0</v>
      </c>
      <c r="F22">
        <v>1</v>
      </c>
    </row>
    <row r="23" spans="1:6" ht="13.15">
      <c r="B23" s="20" t="s">
        <v>30</v>
      </c>
      <c r="C23" s="8">
        <f>SUM(C9:C10)</f>
        <v>650</v>
      </c>
      <c r="D23" s="17" t="s">
        <v>44</v>
      </c>
      <c r="E23" s="30">
        <v>0</v>
      </c>
      <c r="F23">
        <v>1</v>
      </c>
    </row>
    <row r="24" spans="1:6" ht="15">
      <c r="B24" s="21" t="s">
        <v>9</v>
      </c>
      <c r="C24" s="18">
        <f ca="1">(C22/(100-D7)*100)+(C23/(100-D6)*100)</f>
        <v>4369.6292397077887</v>
      </c>
      <c r="D24" s="12"/>
      <c r="E24" s="12"/>
    </row>
    <row r="25" spans="1:6" ht="15" hidden="1">
      <c r="B25" s="22" t="s">
        <v>11</v>
      </c>
      <c r="C25" s="23">
        <f ca="1">C24-(C22+C23)</f>
        <v>1529.3702338977264</v>
      </c>
      <c r="D25" s="12"/>
      <c r="E25" s="12"/>
    </row>
    <row r="26" spans="1:6" ht="13.15">
      <c r="B26" s="11"/>
      <c r="C26" s="8"/>
      <c r="D26" s="12"/>
      <c r="E26" s="12"/>
    </row>
    <row r="27" spans="1:6" ht="15">
      <c r="B27" s="12"/>
      <c r="C27" s="12"/>
      <c r="D27" s="22" t="s">
        <v>10</v>
      </c>
      <c r="E27" s="24">
        <f ca="1">C25/C24</f>
        <v>0.35000000000000009</v>
      </c>
    </row>
    <row r="28" spans="1:6">
      <c r="B28" s="12"/>
      <c r="C28" s="12"/>
      <c r="D28" s="12" t="s">
        <v>31</v>
      </c>
      <c r="E28" s="8">
        <f ca="1">(C25*0.1)+(C16*0.5)</f>
        <v>352.93702338977266</v>
      </c>
    </row>
    <row r="29" spans="1:6">
      <c r="B29" s="17" t="s">
        <v>24</v>
      </c>
      <c r="C29" s="25" t="s">
        <v>20</v>
      </c>
      <c r="D29" s="26">
        <v>0.3</v>
      </c>
      <c r="E29" s="12"/>
    </row>
    <row r="30" spans="1:6">
      <c r="B30" s="12"/>
      <c r="C30" s="25" t="s">
        <v>40</v>
      </c>
      <c r="D30" s="26">
        <v>0.3</v>
      </c>
      <c r="E30" s="12"/>
    </row>
    <row r="31" spans="1:6">
      <c r="B31" s="12"/>
      <c r="C31" s="25" t="s">
        <v>21</v>
      </c>
      <c r="D31" s="26">
        <v>0.4</v>
      </c>
      <c r="E31" s="12"/>
    </row>
    <row r="32" spans="1:6">
      <c r="B32" s="12"/>
      <c r="C32" s="25" t="s">
        <v>22</v>
      </c>
      <c r="D32" s="26">
        <v>0.4</v>
      </c>
      <c r="E32" s="12"/>
    </row>
    <row r="33" spans="2:5">
      <c r="B33" s="12"/>
      <c r="C33" s="25" t="s">
        <v>23</v>
      </c>
      <c r="D33" s="27">
        <v>0.4</v>
      </c>
      <c r="E33" s="13"/>
    </row>
  </sheetData>
  <sheetProtection algorithmName="SHA-512" hashValue="TGnYXS9Ya6ilhGTA4lWc1P7bbEONWHoi3m2AvBnzx7OW2r6UlsHAvIrssc94DiRBg3vT2383iqGmbgxu73yVQA==" saltValue="TUIhQBTLxSr2T30bYps/cw==" spinCount="100000" sheet="1" objects="1" scenarios="1" selectLockedCells="1"/>
  <dataValidations count="3">
    <dataValidation type="whole" allowBlank="1" showInputMessage="1" showErrorMessage="1" sqref="D6" xr:uid="{00000000-0002-0000-0000-000000000000}">
      <formula1>10</formula1>
      <formula2>100</formula2>
    </dataValidation>
    <dataValidation type="whole" allowBlank="1" showInputMessage="1" showErrorMessage="1" sqref="D7" xr:uid="{00000000-0002-0000-0000-000001000000}">
      <formula1>20</formula1>
      <formula2>100</formula2>
    </dataValidation>
    <dataValidation type="list" allowBlank="1" showInputMessage="1" showErrorMessage="1" sqref="E17" xr:uid="{698A9D3C-5259-469E-98ED-87730226D10D}">
      <formula1>"1,2,3"</formula1>
    </dataValidation>
  </dataValidations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Solarponics,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Emrich</dc:creator>
  <cp:lastModifiedBy>Ron Spann</cp:lastModifiedBy>
  <cp:lastPrinted>2025-03-27T17:20:19Z</cp:lastPrinted>
  <dcterms:created xsi:type="dcterms:W3CDTF">2000-03-01T20:06:05Z</dcterms:created>
  <dcterms:modified xsi:type="dcterms:W3CDTF">2026-04-22T17:52:32Z</dcterms:modified>
</cp:coreProperties>
</file>